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alex\Desktop\UNI\4_anho\segundo_cuatri\ruido\Vibraciones\Ansys\final_practice\"/>
    </mc:Choice>
  </mc:AlternateContent>
  <xr:revisionPtr revIDLastSave="0" documentId="13_ncr:1_{A0DCF77C-A676-409B-BFB9-A61920B66A26}" xr6:coauthVersionLast="47" xr6:coauthVersionMax="47" xr10:uidLastSave="{00000000-0000-0000-0000-000000000000}"/>
  <bookViews>
    <workbookView xWindow="28680" yWindow="-120" windowWidth="29040" windowHeight="15720" xr2:uid="{711356B9-377A-46F7-8F18-C4DD6B4B48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5" i="1" l="1"/>
  <c r="E6" i="1"/>
  <c r="E7" i="1"/>
  <c r="E8" i="1"/>
  <c r="E9" i="1"/>
  <c r="E10" i="1"/>
  <c r="E11" i="1"/>
  <c r="E12" i="1"/>
  <c r="F4" i="1"/>
  <c r="F5" i="1"/>
  <c r="F6" i="1"/>
  <c r="F7" i="1"/>
  <c r="F8" i="1"/>
  <c r="F9" i="1"/>
  <c r="F10" i="1"/>
  <c r="F11" i="1"/>
  <c r="F12" i="1"/>
  <c r="F3" i="1"/>
  <c r="C7" i="1"/>
  <c r="C8" i="1"/>
  <c r="C9" i="1"/>
  <c r="C4" i="1"/>
  <c r="C5" i="1"/>
  <c r="B6" i="1"/>
  <c r="C6" i="1" s="1"/>
  <c r="C3" i="1"/>
  <c r="E4" i="1"/>
  <c r="B10" i="1" l="1"/>
  <c r="B11" i="1" l="1"/>
  <c r="C10" i="1"/>
  <c r="B12" i="1" l="1"/>
  <c r="C11" i="1"/>
  <c r="C12" i="1" l="1"/>
  <c r="B13" i="1"/>
  <c r="B14" i="1" s="1"/>
</calcChain>
</file>

<file path=xl/sharedStrings.xml><?xml version="1.0" encoding="utf-8"?>
<sst xmlns="http://schemas.openxmlformats.org/spreadsheetml/2006/main" count="8" uniqueCount="7">
  <si>
    <t>1/l</t>
  </si>
  <si>
    <t>error</t>
  </si>
  <si>
    <t>tamaño malla</t>
  </si>
  <si>
    <t>l [m]</t>
  </si>
  <si>
    <t>error estudiante</t>
  </si>
  <si>
    <t>error rel al minimo</t>
  </si>
  <si>
    <t>f primer modo [Hz]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</si>
</sst>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Convergencia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Hoja1!$C$3:$C$12</c:f>
              <c:numCache>
                <c:formatCode>General</c:formatCode>
                <c:ptCount val="10"/>
                <c:pt idx="0">
                  <c:v>2</c:v>
                </c:pt>
                <c:pt idx="1">
                  <c:v>10</c:v>
                </c:pt>
                <c:pt idx="2">
                  <c:v>20</c:v>
                </c:pt>
                <c:pt idx="3">
                  <c:v>40</c:v>
                </c:pt>
                <c:pt idx="4">
                  <c:v>45.45454545454546</c:v>
                </c:pt>
                <c:pt idx="5">
                  <c:v>50</c:v>
                </c:pt>
                <c:pt idx="6" formatCode="0.00">
                  <c:v>66.666666666666671</c:v>
                </c:pt>
                <c:pt idx="7">
                  <c:v>80</c:v>
                </c:pt>
                <c:pt idx="8">
                  <c:v>160</c:v>
                </c:pt>
                <c:pt idx="9">
                  <c:v>320</c:v>
                </c:pt>
              </c:numCache>
            </c:numRef>
          </c:xVal>
          <c:yVal>
            <c:numRef>
              <c:f>Hoja1!$D$3:$D$12</c:f>
              <c:numCache>
                <c:formatCode>General</c:formatCode>
                <c:ptCount val="10"/>
                <c:pt idx="0">
                  <c:v>101.323045239991</c:v>
                </c:pt>
                <c:pt idx="1">
                  <c:v>98.7641269809329</c:v>
                </c:pt>
                <c:pt idx="2">
                  <c:v>98.603785634217999</c:v>
                </c:pt>
                <c:pt idx="3">
                  <c:v>97.636888310090995</c:v>
                </c:pt>
                <c:pt idx="4">
                  <c:v>97.530286475124697</c:v>
                </c:pt>
                <c:pt idx="5">
                  <c:v>97.530630678203593</c:v>
                </c:pt>
                <c:pt idx="6">
                  <c:v>97.522587840902304</c:v>
                </c:pt>
                <c:pt idx="7">
                  <c:v>97.483653564594107</c:v>
                </c:pt>
                <c:pt idx="8">
                  <c:v>97.438403849443702</c:v>
                </c:pt>
                <c:pt idx="9">
                  <c:v>97.428121083078096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FC8-4C2F-8399-DA8CABAC0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5791760"/>
        <c:axId val="1795790320"/>
      </c:scatterChart>
      <c:valAx>
        <c:axId val="179579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5790320"/>
        <c:crosses val="autoZero"/>
        <c:crossBetween val="midCat"/>
      </c:valAx>
      <c:valAx>
        <c:axId val="179579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795791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373380</xdr:colOff>
      <xdr:row>2</xdr:row>
      <xdr:rowOff>64770</xdr:rowOff>
    </xdr:from>
    <xdr:to>
      <xdr:col>14</xdr:col>
      <xdr:colOff>190500</xdr:colOff>
      <xdr:row>20</xdr:row>
      <xdr:rowOff>64770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FCB1556-22DF-3BD4-29DA-BD8DC75CD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B5388-E84E-456F-8162-5D0A3027D8FC}">
  <dimension ref="B1:F20"/>
  <sheetViews>
    <sheetView tabSelected="1" workbookViewId="0">
      <selection activeCell="F18" sqref="F18"/>
    </sheetView>
  </sheetViews>
  <sheetFormatPr baseColWidth="10" defaultRowHeight="14.4" x14ac:dyDescent="0.3"/>
  <cols>
    <col min="3" max="3" width="13.5546875" bestFit="1" customWidth="1"/>
    <col min="4" max="4" width="18.21875" customWidth="1"/>
    <col min="6" max="6" width="17.109375" customWidth="1"/>
  </cols>
  <sheetData>
    <row r="1" spans="2:6" x14ac:dyDescent="0.3">
      <c r="B1" s="1" t="s">
        <v>2</v>
      </c>
      <c r="C1" s="1"/>
      <c r="D1" s="1"/>
    </row>
    <row r="2" spans="2:6" x14ac:dyDescent="0.3">
      <c r="B2" s="1" t="s">
        <v>3</v>
      </c>
      <c r="C2" s="1" t="s">
        <v>0</v>
      </c>
      <c r="D2" s="1" t="s">
        <v>6</v>
      </c>
      <c r="E2" s="1" t="s">
        <v>1</v>
      </c>
      <c r="F2" s="1" t="s">
        <v>5</v>
      </c>
    </row>
    <row r="3" spans="2:6" x14ac:dyDescent="0.3">
      <c r="B3" s="1">
        <v>0.5</v>
      </c>
      <c r="C3" s="1">
        <f>1/B3</f>
        <v>2</v>
      </c>
      <c r="D3" s="1">
        <v>101.323045239991</v>
      </c>
      <c r="E3" s="1"/>
      <c r="F3" s="2">
        <f>(D3-$D$12)/$D$12</f>
        <v>3.9977412205164667E-2</v>
      </c>
    </row>
    <row r="4" spans="2:6" x14ac:dyDescent="0.3">
      <c r="B4" s="1">
        <v>0.1</v>
      </c>
      <c r="C4" s="1">
        <f t="shared" ref="C4:C12" si="0">1/B4</f>
        <v>10</v>
      </c>
      <c r="D4" s="1">
        <v>98.7641269809329</v>
      </c>
      <c r="E4" s="2">
        <f>(D3-D4)/D4</f>
        <v>2.590938974788002E-2</v>
      </c>
      <c r="F4" s="2">
        <f t="shared" ref="F4:F12" si="1">(D4-$D$12)/$D$12</f>
        <v>1.3712733890409076E-2</v>
      </c>
    </row>
    <row r="5" spans="2:6" x14ac:dyDescent="0.3">
      <c r="B5" s="1">
        <v>0.05</v>
      </c>
      <c r="C5" s="1">
        <f t="shared" si="0"/>
        <v>20</v>
      </c>
      <c r="D5" s="1">
        <v>98.603785634217999</v>
      </c>
      <c r="E5" s="2">
        <f t="shared" ref="E5:E12" si="2">(D4-D5)/D5</f>
        <v>1.626117554043063E-3</v>
      </c>
      <c r="F5" s="2">
        <f t="shared" si="1"/>
        <v>1.2066993985621461E-2</v>
      </c>
    </row>
    <row r="6" spans="2:6" x14ac:dyDescent="0.3">
      <c r="B6" s="1">
        <f>B5/2</f>
        <v>2.5000000000000001E-2</v>
      </c>
      <c r="C6" s="1">
        <f t="shared" si="0"/>
        <v>40</v>
      </c>
      <c r="D6" s="1">
        <v>97.636888310090995</v>
      </c>
      <c r="E6" s="2">
        <f t="shared" si="2"/>
        <v>9.9029920029423211E-3</v>
      </c>
      <c r="F6" s="2">
        <f t="shared" si="1"/>
        <v>2.142782029378159E-3</v>
      </c>
    </row>
    <row r="7" spans="2:6" x14ac:dyDescent="0.3">
      <c r="B7" s="1">
        <v>2.1999999999999999E-2</v>
      </c>
      <c r="C7" s="1">
        <f t="shared" si="0"/>
        <v>45.45454545454546</v>
      </c>
      <c r="D7" s="1">
        <v>97.530286475124697</v>
      </c>
      <c r="E7" s="2">
        <f t="shared" si="2"/>
        <v>1.0930126304251888E-3</v>
      </c>
      <c r="F7" s="2">
        <f t="shared" si="1"/>
        <v>1.048623240506539E-3</v>
      </c>
    </row>
    <row r="8" spans="2:6" x14ac:dyDescent="0.3">
      <c r="B8" s="1">
        <v>0.02</v>
      </c>
      <c r="C8" s="1">
        <f t="shared" si="0"/>
        <v>50</v>
      </c>
      <c r="D8" s="1">
        <v>97.530630678203593</v>
      </c>
      <c r="E8" s="2">
        <f t="shared" si="2"/>
        <v>-3.5291792588906856E-6</v>
      </c>
      <c r="F8" s="2">
        <f t="shared" si="1"/>
        <v>1.0521561330130314E-3</v>
      </c>
    </row>
    <row r="9" spans="2:6" x14ac:dyDescent="0.3">
      <c r="B9" s="1">
        <v>1.4999999999999999E-2</v>
      </c>
      <c r="C9" s="3">
        <f t="shared" si="0"/>
        <v>66.666666666666671</v>
      </c>
      <c r="D9" s="1">
        <v>97.522587840902304</v>
      </c>
      <c r="E9" s="2">
        <f t="shared" si="2"/>
        <v>8.2471532794128956E-5</v>
      </c>
      <c r="F9" s="2">
        <f t="shared" si="1"/>
        <v>9.6960463543841347E-4</v>
      </c>
    </row>
    <row r="10" spans="2:6" x14ac:dyDescent="0.3">
      <c r="B10" s="1">
        <f>B6/2</f>
        <v>1.2500000000000001E-2</v>
      </c>
      <c r="C10" s="1">
        <f t="shared" si="0"/>
        <v>80</v>
      </c>
      <c r="D10" s="1">
        <v>97.483653564594107</v>
      </c>
      <c r="E10" s="2">
        <f t="shared" si="2"/>
        <v>3.9939287136379832E-4</v>
      </c>
      <c r="F10" s="2">
        <f t="shared" si="1"/>
        <v>5.6998411648170183E-4</v>
      </c>
    </row>
    <row r="11" spans="2:6" x14ac:dyDescent="0.3">
      <c r="B11" s="1">
        <f t="shared" ref="B11:B14" si="3">B10/2</f>
        <v>6.2500000000000003E-3</v>
      </c>
      <c r="C11" s="1">
        <f t="shared" si="0"/>
        <v>160</v>
      </c>
      <c r="D11" s="1">
        <v>97.438403849443702</v>
      </c>
      <c r="E11" s="2">
        <f t="shared" si="2"/>
        <v>4.6439302536525602E-4</v>
      </c>
      <c r="F11" s="2">
        <f t="shared" si="1"/>
        <v>1.0554207811148828E-4</v>
      </c>
    </row>
    <row r="12" spans="2:6" x14ac:dyDescent="0.3">
      <c r="B12" s="1">
        <f t="shared" si="3"/>
        <v>3.1250000000000002E-3</v>
      </c>
      <c r="C12" s="1">
        <f t="shared" si="0"/>
        <v>320</v>
      </c>
      <c r="D12" s="1">
        <v>97.428121083078096</v>
      </c>
      <c r="E12" s="2">
        <f t="shared" si="2"/>
        <v>1.0554207811148828E-4</v>
      </c>
      <c r="F12" s="2">
        <f t="shared" si="1"/>
        <v>0</v>
      </c>
    </row>
    <row r="13" spans="2:6" x14ac:dyDescent="0.3">
      <c r="B13" s="1">
        <f t="shared" si="3"/>
        <v>1.5625000000000001E-3</v>
      </c>
      <c r="C13" s="1"/>
      <c r="D13" s="1" t="s">
        <v>4</v>
      </c>
      <c r="E13" s="1"/>
    </row>
    <row r="14" spans="2:6" x14ac:dyDescent="0.3">
      <c r="B14" s="1">
        <f t="shared" si="3"/>
        <v>7.8125000000000004E-4</v>
      </c>
      <c r="C14" s="1"/>
      <c r="D14" s="1" t="s">
        <v>4</v>
      </c>
      <c r="E14" s="1"/>
    </row>
    <row r="15" spans="2:6" x14ac:dyDescent="0.3">
      <c r="B15" s="1"/>
      <c r="C15" s="1"/>
      <c r="D15" s="1"/>
      <c r="E15" s="1"/>
    </row>
    <row r="16" spans="2:6" x14ac:dyDescent="0.3">
      <c r="B16" s="1"/>
      <c r="C16" s="1"/>
      <c r="D16" s="1"/>
      <c r="E16" s="1"/>
    </row>
    <row r="17" spans="2:5" x14ac:dyDescent="0.3">
      <c r="B17" s="1"/>
      <c r="C17" s="1"/>
      <c r="D17" s="1"/>
      <c r="E17" s="1"/>
    </row>
    <row r="18" spans="2:5" x14ac:dyDescent="0.3">
      <c r="B18" s="1"/>
      <c r="C18" s="1"/>
      <c r="D18" s="1"/>
      <c r="E18" s="1"/>
    </row>
    <row r="19" spans="2:5" x14ac:dyDescent="0.3">
      <c r="B19" s="1"/>
      <c r="C19" s="1"/>
      <c r="D19" s="1"/>
      <c r="E19" s="1"/>
    </row>
    <row r="20" spans="2:5" x14ac:dyDescent="0.3">
      <c r="B20" s="1"/>
      <c r="C20" s="1"/>
      <c r="D20" s="1"/>
      <c r="E20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Gil Getino</dc:creator>
  <cp:lastModifiedBy>Alejandro Gil Getino</cp:lastModifiedBy>
  <dcterms:created xsi:type="dcterms:W3CDTF">2026-05-25T08:07:09Z</dcterms:created>
  <dcterms:modified xsi:type="dcterms:W3CDTF">2026-06-01T16:01:41Z</dcterms:modified>
</cp:coreProperties>
</file>